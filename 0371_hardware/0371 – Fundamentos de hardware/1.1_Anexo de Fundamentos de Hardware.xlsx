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0b6c9564718606/Documents/STUDY/PROMETEO/PROYECTOS INTERMODULAR/PRESENTACION DE PROYECTOS/"/>
    </mc:Choice>
  </mc:AlternateContent>
  <xr:revisionPtr revIDLastSave="0" documentId="8_{D6BE4D41-D1E2-4CA5-B2FD-3FCE370862C1}" xr6:coauthVersionLast="47" xr6:coauthVersionMax="47" xr10:uidLastSave="{00000000-0000-0000-0000-000000000000}"/>
  <bookViews>
    <workbookView xWindow="28680" yWindow="-120" windowWidth="29040" windowHeight="15720" xr2:uid="{9FEBF728-7EE7-4461-B5FC-FD7E3ABFB8EA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7" i="1" l="1"/>
  <c r="C23" i="1"/>
  <c r="C15" i="1"/>
  <c r="C7" i="1"/>
  <c r="D16" i="3"/>
  <c r="C16" i="3"/>
</calcChain>
</file>

<file path=xl/sharedStrings.xml><?xml version="1.0" encoding="utf-8"?>
<sst xmlns="http://schemas.openxmlformats.org/spreadsheetml/2006/main" count="157" uniqueCount="106">
  <si>
    <t>https://www.pccomponentes.com/cart/shopping_basket</t>
  </si>
  <si>
    <t>Agentes</t>
  </si>
  <si>
    <t xml:space="preserve">Tipo Ordenador </t>
  </si>
  <si>
    <t>Link Liquidacion</t>
  </si>
  <si>
    <t>Kingston NV3 500GB SSD M.2 NVMe 2280 PCIe 4.0 3D NAND</t>
  </si>
  <si>
    <t xml:space="preserve">
Caja PC Approx APPC-301F Negro Micro ATX Mini-ITX Fuente 500W Compacta USB 3.0/2.0</t>
  </si>
  <si>
    <t>Kingston FURY Beast DDR4 3200 MHz 16GB 2x8GB CL16</t>
  </si>
  <si>
    <t>ASUS Prime B760M-A D4-CSM</t>
  </si>
  <si>
    <t>Intel Core i5-13400 2.5 GHz/4.6 GHz</t>
  </si>
  <si>
    <t>Caracteristicas</t>
  </si>
  <si>
    <t>Costes</t>
  </si>
  <si>
    <t>Admistracion</t>
  </si>
  <si>
    <t>https://www.pccomponentes.com/portatil-alurin-flex-advance-amd-ryzen-7-5825u-156-16gb-500gb-windows-11-home</t>
  </si>
  <si>
    <t>Procesador AMD Ryzen 7 de alto rendimiento</t>
  </si>
  <si>
    <t>Pantalla FHD IPS de 15,6 pulgadas</t>
  </si>
  <si>
    <t>16GB RAM y SSD NVMe PCIe 4.0 de 500GB</t>
  </si>
  <si>
    <t>Lector de huellas para acceso seguro</t>
  </si>
  <si>
    <t>Conectividad Wi-Fi 5 y Bluetooth 5.0</t>
  </si>
  <si>
    <t>Windows 11 Home preinstalado</t>
  </si>
  <si>
    <t>Soporte 
y
 Desarrollo</t>
  </si>
  <si>
    <t>https://www.pccomponentes.com/configurador</t>
  </si>
  <si>
    <t>PROCESADOR *Intel Core i5-13400 2.5 GHz/4.6 GHz</t>
  </si>
  <si>
    <t>PLACA BASE *MSI PRO B760M-P DDR4</t>
  </si>
  <si>
    <t>MEMORIA RAM *Adata XPG GAMMIX D35 DDR4 3200MHz 32GB 2x16GB CL16 Intel XMP 2.0</t>
  </si>
  <si>
    <t>CAJA/TORRE *Sharkoon SK3 RGB ATX Cristal Templado USB 3.0 ARGB Negra</t>
  </si>
  <si>
    <t>FUENTE DE ALIMENTACIÓNCorsair CX750 750 W 80 Plus Bronze</t>
  </si>
  <si>
    <t>DISCO DUROSSD M.2 Crucial P310 1TB PCIe 4.0 NVMe 7100MB/s Disipador Térmico Licencia Oficial PS5</t>
  </si>
  <si>
    <t>TOTAL</t>
  </si>
  <si>
    <t>SERVIDOR PRINCIPAL (AD / DNS)</t>
  </si>
  <si>
    <t>Ubiquiti UniFi Dream Machine 1733 Mbps</t>
  </si>
  <si>
    <t>https://www.pccomponentes.com/ubiquiti-unifi-dream-machine-1733-mbps</t>
  </si>
  <si>
    <t>TP-Link TL-SG3428X Switch Gestionado L2 24 Puertos Gigabit 4 SFP</t>
  </si>
  <si>
    <t>https://www.pccomponentes.com/tp-link-tl-sg3428x-switch-gestionado-l2-24-puertos-gigabit-4-sfp</t>
  </si>
  <si>
    <t>VLAN</t>
  </si>
  <si>
    <t>Nombre</t>
  </si>
  <si>
    <t>ID</t>
  </si>
  <si>
    <t>Administración</t>
  </si>
  <si>
    <t>ADMIN</t>
  </si>
  <si>
    <t>Usuarios / Agentes</t>
  </si>
  <si>
    <t>USERS</t>
  </si>
  <si>
    <t>IT / Soporte / Desarrollo</t>
  </si>
  <si>
    <t>IT</t>
  </si>
  <si>
    <t>Servidores</t>
  </si>
  <si>
    <t>SERVERS</t>
  </si>
  <si>
    <t>Invitados</t>
  </si>
  <si>
    <t>GUEST</t>
  </si>
  <si>
    <t>Red IP</t>
  </si>
  <si>
    <t>Gateway</t>
  </si>
  <si>
    <t>192.168.10.0/24</t>
  </si>
  <si>
    <t>192.168.10.1</t>
  </si>
  <si>
    <t>192.168.20.0/24</t>
  </si>
  <si>
    <t>192.168.20.1</t>
  </si>
  <si>
    <t>192.168.30.0/24</t>
  </si>
  <si>
    <t>192.168.30.1</t>
  </si>
  <si>
    <t>192.168.40.0/24</t>
  </si>
  <si>
    <t>192.168.40.1</t>
  </si>
  <si>
    <t>192.168.50.0/24</t>
  </si>
  <si>
    <t>192.168.50.1</t>
  </si>
  <si>
    <t xml:space="preserve"> ASIGNAR VLAN IDs</t>
  </si>
  <si>
    <t>DEFINIR REDES (IP)</t>
  </si>
  <si>
    <t>Tipo de equipo</t>
  </si>
  <si>
    <t>Departamento</t>
  </si>
  <si>
    <t>Usuarios</t>
  </si>
  <si>
    <t>Equipos</t>
  </si>
  <si>
    <t>Función</t>
  </si>
  <si>
    <t>RED</t>
  </si>
  <si>
    <t>PLANTA</t>
  </si>
  <si>
    <t>TIPO VLAN</t>
  </si>
  <si>
    <t>Administrativo</t>
  </si>
  <si>
    <t>RRHH</t>
  </si>
  <si>
    <t>Gestión interna</t>
  </si>
  <si>
    <t>PLANTA 1</t>
  </si>
  <si>
    <t>VLAN 10</t>
  </si>
  <si>
    <t>Recepción</t>
  </si>
  <si>
    <t>Atención</t>
  </si>
  <si>
    <t>Secretaría</t>
  </si>
  <si>
    <t>Gestión</t>
  </si>
  <si>
    <t>Capacitación</t>
  </si>
  <si>
    <t>Formación</t>
  </si>
  <si>
    <t>PLANTA 2</t>
  </si>
  <si>
    <t>VLAN 50</t>
  </si>
  <si>
    <t>Training</t>
  </si>
  <si>
    <t>Call Center</t>
  </si>
  <si>
    <t>CRM + llamadas (turnos)</t>
  </si>
  <si>
    <t>VLAN 30</t>
  </si>
  <si>
    <t>Técnico</t>
  </si>
  <si>
    <t>Help Desk</t>
  </si>
  <si>
    <t>Soporte</t>
  </si>
  <si>
    <t>VLAN 20</t>
  </si>
  <si>
    <t>Programación</t>
  </si>
  <si>
    <t>Desarrollo</t>
  </si>
  <si>
    <t>Base de Datos</t>
  </si>
  <si>
    <t>Gestión BD</t>
  </si>
  <si>
    <t>Reportering</t>
  </si>
  <si>
    <t>Análisis</t>
  </si>
  <si>
    <t>Supervisor</t>
  </si>
  <si>
    <t>Supervisión por turnos</t>
  </si>
  <si>
    <t>Gerencia</t>
  </si>
  <si>
    <t>Dirección</t>
  </si>
  <si>
    <t>Servidor</t>
  </si>
  <si>
    <t>AD / DNS</t>
  </si>
  <si>
    <t>Control dominio</t>
  </si>
  <si>
    <t>192.168.60.0/24</t>
  </si>
  <si>
    <t>VLAN 60</t>
  </si>
  <si>
    <t>Router Linux</t>
  </si>
  <si>
    <t>Gateway / VLANs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</si>
</sst>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2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u/>
      <sz val="11"/>
      <color theme="10"/>
      <name val="Segoe UI"/>
      <family val="2"/>
    </font>
    <font>
      <b/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3" fillId="3" borderId="1" xfId="0" applyFont="1" applyFill="1" applyBorder="1"/>
    <xf numFmtId="44" fontId="3" fillId="3" borderId="1" xfId="0" applyNumberFormat="1" applyFont="1" applyFill="1" applyBorder="1"/>
    <xf numFmtId="0" fontId="2" fillId="2" borderId="1" xfId="0" applyFont="1" applyFill="1" applyBorder="1"/>
    <xf numFmtId="44" fontId="2" fillId="2" borderId="1" xfId="0" applyNumberFormat="1" applyFont="1" applyFill="1" applyBorder="1"/>
    <xf numFmtId="0" fontId="1" fillId="3" borderId="1" xfId="1" applyFill="1" applyBorder="1" applyAlignment="1">
      <alignment vertical="center"/>
    </xf>
    <xf numFmtId="0" fontId="2" fillId="2" borderId="9" xfId="0" applyFont="1" applyFill="1" applyBorder="1"/>
    <xf numFmtId="0" fontId="2" fillId="2" borderId="7" xfId="0" applyFont="1" applyFill="1" applyBorder="1"/>
    <xf numFmtId="0" fontId="2" fillId="2" borderId="10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wrapText="1"/>
    </xf>
    <xf numFmtId="0" fontId="6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44" fontId="3" fillId="3" borderId="2" xfId="0" applyNumberFormat="1" applyFont="1" applyFill="1" applyBorder="1" applyAlignment="1">
      <alignment horizontal="center" vertical="center"/>
    </xf>
    <xf numFmtId="44" fontId="3" fillId="3" borderId="3" xfId="0" applyNumberFormat="1" applyFont="1" applyFill="1" applyBorder="1" applyAlignment="1">
      <alignment horizontal="center" vertical="center"/>
    </xf>
    <xf numFmtId="44" fontId="3" fillId="3" borderId="4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ccomponentes.com/configurador" TargetMode="External"/><Relationship Id="rId2" Type="http://schemas.openxmlformats.org/officeDocument/2006/relationships/hyperlink" Target="https://www.pccomponentes.com/portatil-alurin-flex-advance-amd-ryzen-7-5825u-156-16gb-500gb-windows-11-home" TargetMode="External"/><Relationship Id="rId1" Type="http://schemas.openxmlformats.org/officeDocument/2006/relationships/hyperlink" Target="https://www.pccomponentes.com/cart/shopping_basket" TargetMode="External"/><Relationship Id="rId5" Type="http://schemas.openxmlformats.org/officeDocument/2006/relationships/hyperlink" Target="https://www.pccomponentes.com/tp-link-tl-sg3428x-switch-gestionado-l2-24-puertos-gigabit-4-sfp" TargetMode="External"/><Relationship Id="rId4" Type="http://schemas.openxmlformats.org/officeDocument/2006/relationships/hyperlink" Target="https://www.pccomponentes.com/ubiquiti-unifi-dream-machine-1733-mb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E5FB-0189-4CF1-84FE-F5F0CDAE4AC7}">
  <dimension ref="A1:D28"/>
  <sheetViews>
    <sheetView tabSelected="1" workbookViewId="0">
      <selection activeCell="B2" sqref="B2"/>
    </sheetView>
  </sheetViews>
  <sheetFormatPr baseColWidth="10" defaultColWidth="11.6640625" defaultRowHeight="16.8" x14ac:dyDescent="0.4"/>
  <cols>
    <col min="1" max="1" width="35" style="2" bestFit="1" customWidth="1"/>
    <col min="2" max="2" width="98.77734375" style="2" bestFit="1" customWidth="1"/>
    <col min="3" max="3" width="11.5546875" style="2" bestFit="1" customWidth="1"/>
    <col min="4" max="4" width="114.33203125" style="2" bestFit="1" customWidth="1"/>
    <col min="5" max="16384" width="11.6640625" style="2"/>
  </cols>
  <sheetData>
    <row r="1" spans="1:4" x14ac:dyDescent="0.4">
      <c r="A1" s="1" t="s">
        <v>2</v>
      </c>
      <c r="B1" s="1" t="s">
        <v>9</v>
      </c>
      <c r="C1" s="1" t="s">
        <v>10</v>
      </c>
      <c r="D1" s="1" t="s">
        <v>3</v>
      </c>
    </row>
    <row r="2" spans="1:4" x14ac:dyDescent="0.4">
      <c r="A2" s="24" t="s">
        <v>1</v>
      </c>
      <c r="B2" s="3" t="s">
        <v>4</v>
      </c>
      <c r="C2" s="4">
        <v>109.99</v>
      </c>
      <c r="D2" s="25" t="s">
        <v>0</v>
      </c>
    </row>
    <row r="3" spans="1:4" x14ac:dyDescent="0.4">
      <c r="A3" s="24"/>
      <c r="B3" s="3" t="s">
        <v>5</v>
      </c>
      <c r="C3" s="4">
        <v>36.99</v>
      </c>
      <c r="D3" s="25"/>
    </row>
    <row r="4" spans="1:4" x14ac:dyDescent="0.4">
      <c r="A4" s="24"/>
      <c r="B4" s="3" t="s">
        <v>6</v>
      </c>
      <c r="C4" s="4">
        <v>159.94999999999999</v>
      </c>
      <c r="D4" s="25"/>
    </row>
    <row r="5" spans="1:4" x14ac:dyDescent="0.4">
      <c r="A5" s="24"/>
      <c r="B5" s="3" t="s">
        <v>7</v>
      </c>
      <c r="C5" s="4">
        <v>98.95</v>
      </c>
      <c r="D5" s="25"/>
    </row>
    <row r="6" spans="1:4" x14ac:dyDescent="0.4">
      <c r="A6" s="24"/>
      <c r="B6" s="3" t="s">
        <v>8</v>
      </c>
      <c r="C6" s="4">
        <v>279.32</v>
      </c>
      <c r="D6" s="25"/>
    </row>
    <row r="7" spans="1:4" x14ac:dyDescent="0.4">
      <c r="A7" s="20" t="s">
        <v>27</v>
      </c>
      <c r="B7" s="22"/>
      <c r="C7" s="6">
        <f>+SUM(C2:C6)</f>
        <v>685.19999999999993</v>
      </c>
      <c r="D7" s="5"/>
    </row>
    <row r="8" spans="1:4" x14ac:dyDescent="0.4">
      <c r="A8" s="5"/>
      <c r="B8" s="5"/>
      <c r="C8" s="6"/>
      <c r="D8" s="5"/>
    </row>
    <row r="9" spans="1:4" x14ac:dyDescent="0.4">
      <c r="A9" s="24" t="s">
        <v>11</v>
      </c>
      <c r="B9" s="3" t="s">
        <v>13</v>
      </c>
      <c r="C9" s="27">
        <v>509.99</v>
      </c>
      <c r="D9" s="25" t="s">
        <v>12</v>
      </c>
    </row>
    <row r="10" spans="1:4" x14ac:dyDescent="0.4">
      <c r="A10" s="24"/>
      <c r="B10" s="3" t="s">
        <v>14</v>
      </c>
      <c r="C10" s="28"/>
      <c r="D10" s="25"/>
    </row>
    <row r="11" spans="1:4" x14ac:dyDescent="0.4">
      <c r="A11" s="24"/>
      <c r="B11" s="3" t="s">
        <v>15</v>
      </c>
      <c r="C11" s="28"/>
      <c r="D11" s="25"/>
    </row>
    <row r="12" spans="1:4" x14ac:dyDescent="0.4">
      <c r="A12" s="24"/>
      <c r="B12" s="3" t="s">
        <v>16</v>
      </c>
      <c r="C12" s="28"/>
      <c r="D12" s="25"/>
    </row>
    <row r="13" spans="1:4" x14ac:dyDescent="0.4">
      <c r="A13" s="24"/>
      <c r="B13" s="3" t="s">
        <v>17</v>
      </c>
      <c r="C13" s="28"/>
      <c r="D13" s="25"/>
    </row>
    <row r="14" spans="1:4" x14ac:dyDescent="0.4">
      <c r="A14" s="24"/>
      <c r="B14" s="3" t="s">
        <v>18</v>
      </c>
      <c r="C14" s="29"/>
      <c r="D14" s="25"/>
    </row>
    <row r="15" spans="1:4" x14ac:dyDescent="0.4">
      <c r="A15" s="20" t="s">
        <v>27</v>
      </c>
      <c r="B15" s="22"/>
      <c r="C15" s="6">
        <f>+C9</f>
        <v>509.99</v>
      </c>
      <c r="D15" s="5"/>
    </row>
    <row r="16" spans="1:4" x14ac:dyDescent="0.4">
      <c r="A16" s="20"/>
      <c r="B16" s="22"/>
      <c r="C16" s="5"/>
      <c r="D16" s="5"/>
    </row>
    <row r="17" spans="1:4" x14ac:dyDescent="0.4">
      <c r="A17" s="23" t="s">
        <v>19</v>
      </c>
      <c r="B17" s="3" t="s">
        <v>21</v>
      </c>
      <c r="C17" s="4">
        <v>279.32</v>
      </c>
      <c r="D17" s="26" t="s">
        <v>20</v>
      </c>
    </row>
    <row r="18" spans="1:4" x14ac:dyDescent="0.4">
      <c r="A18" s="24"/>
      <c r="B18" s="3" t="s">
        <v>22</v>
      </c>
      <c r="C18" s="4">
        <v>86.99</v>
      </c>
      <c r="D18" s="25"/>
    </row>
    <row r="19" spans="1:4" x14ac:dyDescent="0.4">
      <c r="A19" s="24"/>
      <c r="B19" s="3" t="s">
        <v>23</v>
      </c>
      <c r="C19" s="4">
        <v>269.95</v>
      </c>
      <c r="D19" s="25"/>
    </row>
    <row r="20" spans="1:4" x14ac:dyDescent="0.4">
      <c r="A20" s="24"/>
      <c r="B20" s="3" t="s">
        <v>24</v>
      </c>
      <c r="C20" s="4">
        <v>56.76</v>
      </c>
      <c r="D20" s="25"/>
    </row>
    <row r="21" spans="1:4" x14ac:dyDescent="0.4">
      <c r="A21" s="24"/>
      <c r="B21" s="3" t="s">
        <v>25</v>
      </c>
      <c r="C21" s="4">
        <v>64.95</v>
      </c>
      <c r="D21" s="25"/>
    </row>
    <row r="22" spans="1:4" x14ac:dyDescent="0.4">
      <c r="A22" s="24"/>
      <c r="B22" s="3" t="s">
        <v>26</v>
      </c>
      <c r="C22" s="4">
        <v>163</v>
      </c>
      <c r="D22" s="25"/>
    </row>
    <row r="23" spans="1:4" x14ac:dyDescent="0.4">
      <c r="A23" s="20" t="s">
        <v>27</v>
      </c>
      <c r="B23" s="22"/>
      <c r="C23" s="6">
        <f>+SUM(C17:C22)</f>
        <v>920.97</v>
      </c>
      <c r="D23" s="5"/>
    </row>
    <row r="24" spans="1:4" x14ac:dyDescent="0.4">
      <c r="A24" s="20"/>
      <c r="B24" s="22"/>
      <c r="C24" s="5"/>
      <c r="D24" s="5"/>
    </row>
    <row r="25" spans="1:4" x14ac:dyDescent="0.4">
      <c r="A25" s="23" t="s">
        <v>28</v>
      </c>
      <c r="B25" s="3" t="s">
        <v>29</v>
      </c>
      <c r="C25" s="4">
        <v>340.82</v>
      </c>
      <c r="D25" s="7" t="s">
        <v>30</v>
      </c>
    </row>
    <row r="26" spans="1:4" x14ac:dyDescent="0.4">
      <c r="A26" s="24"/>
      <c r="B26" s="3" t="s">
        <v>31</v>
      </c>
      <c r="C26" s="4">
        <v>270.60000000000002</v>
      </c>
      <c r="D26" s="7" t="s">
        <v>32</v>
      </c>
    </row>
    <row r="27" spans="1:4" x14ac:dyDescent="0.4">
      <c r="A27" s="20" t="s">
        <v>27</v>
      </c>
      <c r="B27" s="22"/>
      <c r="C27" s="6">
        <f>+SUM(C25:C26)</f>
        <v>611.42000000000007</v>
      </c>
      <c r="D27" s="5"/>
    </row>
    <row r="28" spans="1:4" x14ac:dyDescent="0.4">
      <c r="A28" s="20"/>
      <c r="B28" s="22"/>
      <c r="C28" s="5"/>
      <c r="D28" s="5"/>
    </row>
  </sheetData>
  <mergeCells count="15">
    <mergeCell ref="A28:B28"/>
    <mergeCell ref="A23:B23"/>
    <mergeCell ref="A24:B24"/>
    <mergeCell ref="A25:A26"/>
    <mergeCell ref="A27:B27"/>
    <mergeCell ref="D2:D6"/>
    <mergeCell ref="A2:A6"/>
    <mergeCell ref="A9:A14"/>
    <mergeCell ref="D9:D14"/>
    <mergeCell ref="A17:A22"/>
    <mergeCell ref="D17:D22"/>
    <mergeCell ref="C9:C14"/>
    <mergeCell ref="A7:B7"/>
    <mergeCell ref="A16:B16"/>
    <mergeCell ref="A15:B15"/>
  </mergeCells>
  <hyperlinks>
    <hyperlink ref="D2" r:id="rId1" xr:uid="{EC8E8492-4716-41B1-AD65-EBCF630A61CB}"/>
    <hyperlink ref="D9" r:id="rId2" xr:uid="{3E52B365-EF0D-40B0-AC57-817B42973783}"/>
    <hyperlink ref="D17" r:id="rId3" xr:uid="{E741B512-B306-413F-A280-BDD6C547C402}"/>
    <hyperlink ref="D25" r:id="rId4" xr:uid="{E2CB5E27-87D0-40BE-ACF6-F93548B4DB65}"/>
    <hyperlink ref="D26" r:id="rId5" xr:uid="{EBF45543-5425-4108-8F8C-A6DC106B421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007FC-3B76-4EE4-87A0-BC8E15C46989}">
  <dimension ref="B2:H9"/>
  <sheetViews>
    <sheetView workbookViewId="0">
      <selection activeCell="F8" sqref="F8"/>
    </sheetView>
  </sheetViews>
  <sheetFormatPr baseColWidth="10" defaultRowHeight="14.4" x14ac:dyDescent="0.3"/>
  <cols>
    <col min="2" max="2" width="21.33203125" bestFit="1" customWidth="1"/>
    <col min="5" max="5" width="2.88671875" customWidth="1"/>
    <col min="6" max="6" width="6.88671875" bestFit="1" customWidth="1"/>
    <col min="7" max="7" width="14.33203125" bestFit="1" customWidth="1"/>
  </cols>
  <sheetData>
    <row r="2" spans="2:8" ht="16.8" x14ac:dyDescent="0.4">
      <c r="B2" s="20" t="s">
        <v>58</v>
      </c>
      <c r="C2" s="21"/>
      <c r="D2" s="22"/>
      <c r="F2" s="20" t="s">
        <v>59</v>
      </c>
      <c r="G2" s="21"/>
      <c r="H2" s="22"/>
    </row>
    <row r="4" spans="2:8" ht="16.8" x14ac:dyDescent="0.4">
      <c r="B4" s="8" t="s">
        <v>33</v>
      </c>
      <c r="C4" s="9" t="s">
        <v>34</v>
      </c>
      <c r="D4" s="10" t="s">
        <v>35</v>
      </c>
      <c r="F4" s="8" t="s">
        <v>33</v>
      </c>
      <c r="G4" s="9" t="s">
        <v>46</v>
      </c>
      <c r="H4" s="10" t="s">
        <v>47</v>
      </c>
    </row>
    <row r="5" spans="2:8" x14ac:dyDescent="0.3">
      <c r="B5" s="11" t="s">
        <v>36</v>
      </c>
      <c r="C5" t="s">
        <v>37</v>
      </c>
      <c r="D5" s="12">
        <v>10</v>
      </c>
      <c r="F5" s="11">
        <v>10</v>
      </c>
      <c r="G5" t="s">
        <v>48</v>
      </c>
      <c r="H5" s="12" t="s">
        <v>49</v>
      </c>
    </row>
    <row r="6" spans="2:8" x14ac:dyDescent="0.3">
      <c r="B6" s="11" t="s">
        <v>38</v>
      </c>
      <c r="C6" t="s">
        <v>39</v>
      </c>
      <c r="D6" s="12">
        <v>20</v>
      </c>
      <c r="F6" s="11">
        <v>20</v>
      </c>
      <c r="G6" t="s">
        <v>50</v>
      </c>
      <c r="H6" s="12" t="s">
        <v>51</v>
      </c>
    </row>
    <row r="7" spans="2:8" x14ac:dyDescent="0.3">
      <c r="B7" s="11" t="s">
        <v>40</v>
      </c>
      <c r="C7" t="s">
        <v>41</v>
      </c>
      <c r="D7" s="12">
        <v>30</v>
      </c>
      <c r="F7" s="11">
        <v>30</v>
      </c>
      <c r="G7" t="s">
        <v>52</v>
      </c>
      <c r="H7" s="12" t="s">
        <v>53</v>
      </c>
    </row>
    <row r="8" spans="2:8" x14ac:dyDescent="0.3">
      <c r="B8" s="11" t="s">
        <v>42</v>
      </c>
      <c r="C8" t="s">
        <v>43</v>
      </c>
      <c r="D8" s="12">
        <v>40</v>
      </c>
      <c r="F8" s="11">
        <v>40</v>
      </c>
      <c r="G8" t="s">
        <v>54</v>
      </c>
      <c r="H8" s="12" t="s">
        <v>55</v>
      </c>
    </row>
    <row r="9" spans="2:8" x14ac:dyDescent="0.3">
      <c r="B9" s="13" t="s">
        <v>44</v>
      </c>
      <c r="C9" s="14" t="s">
        <v>45</v>
      </c>
      <c r="D9" s="15">
        <v>50</v>
      </c>
      <c r="F9" s="13">
        <v>50</v>
      </c>
      <c r="G9" s="14" t="s">
        <v>56</v>
      </c>
      <c r="H9" s="15" t="s">
        <v>57</v>
      </c>
    </row>
  </sheetData>
  <mergeCells count="2">
    <mergeCell ref="B2:D2"/>
    <mergeCell ref="F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B5B6-2246-4BB5-8719-DD6015DFE67A}">
  <dimension ref="A1:H16"/>
  <sheetViews>
    <sheetView topLeftCell="I1" zoomScale="70" zoomScaleNormal="70" workbookViewId="0">
      <selection activeCell="O2" sqref="O2:U9"/>
    </sheetView>
  </sheetViews>
  <sheetFormatPr baseColWidth="10" defaultRowHeight="14.4" x14ac:dyDescent="0.3"/>
  <cols>
    <col min="1" max="1" width="13.88671875" bestFit="1" customWidth="1"/>
    <col min="2" max="2" width="13.5546875" bestFit="1" customWidth="1"/>
    <col min="3" max="3" width="8.5546875" bestFit="1" customWidth="1"/>
    <col min="4" max="4" width="8" bestFit="1" customWidth="1"/>
    <col min="5" max="5" width="22.33203125" bestFit="1" customWidth="1"/>
    <col min="6" max="6" width="16" customWidth="1"/>
    <col min="7" max="7" width="10.77734375" bestFit="1" customWidth="1"/>
    <col min="8" max="8" width="10" bestFit="1" customWidth="1"/>
    <col min="10" max="10" width="35" bestFit="1" customWidth="1"/>
    <col min="11" max="11" width="98.77734375" bestFit="1" customWidth="1"/>
    <col min="12" max="12" width="12.77734375" bestFit="1" customWidth="1"/>
    <col min="13" max="13" width="114.33203125" bestFit="1" customWidth="1"/>
    <col min="15" max="15" width="21.33203125" bestFit="1" customWidth="1"/>
    <col min="16" max="16" width="9.33203125" bestFit="1" customWidth="1"/>
    <col min="17" max="17" width="3.44140625" bestFit="1" customWidth="1"/>
    <col min="19" max="19" width="6.88671875" bestFit="1" customWidth="1"/>
    <col min="20" max="20" width="14.33203125" bestFit="1" customWidth="1"/>
    <col min="21" max="21" width="11.6640625" bestFit="1" customWidth="1"/>
  </cols>
  <sheetData>
    <row r="1" spans="1:8" x14ac:dyDescent="0.3">
      <c r="A1" s="16" t="s">
        <v>60</v>
      </c>
      <c r="B1" s="17" t="s">
        <v>61</v>
      </c>
      <c r="C1" s="17" t="s">
        <v>62</v>
      </c>
      <c r="D1" s="16" t="s">
        <v>63</v>
      </c>
      <c r="E1" s="17" t="s">
        <v>64</v>
      </c>
      <c r="F1" s="17" t="s">
        <v>65</v>
      </c>
      <c r="G1" s="17" t="s">
        <v>66</v>
      </c>
      <c r="H1" s="17" t="s">
        <v>67</v>
      </c>
    </row>
    <row r="2" spans="1:8" x14ac:dyDescent="0.3">
      <c r="A2" s="18" t="s">
        <v>68</v>
      </c>
      <c r="B2" s="19" t="s">
        <v>69</v>
      </c>
      <c r="C2" s="19">
        <v>4</v>
      </c>
      <c r="D2" s="18">
        <v>4</v>
      </c>
      <c r="E2" s="19" t="s">
        <v>70</v>
      </c>
      <c r="F2" s="19" t="s">
        <v>48</v>
      </c>
      <c r="G2" s="19" t="s">
        <v>71</v>
      </c>
      <c r="H2" s="19" t="s">
        <v>72</v>
      </c>
    </row>
    <row r="3" spans="1:8" x14ac:dyDescent="0.3">
      <c r="A3" s="18" t="s">
        <v>68</v>
      </c>
      <c r="B3" s="19" t="s">
        <v>73</v>
      </c>
      <c r="C3" s="19">
        <v>1</v>
      </c>
      <c r="D3" s="18">
        <v>1</v>
      </c>
      <c r="E3" s="19" t="s">
        <v>74</v>
      </c>
      <c r="F3" s="19" t="s">
        <v>48</v>
      </c>
      <c r="G3" s="19" t="s">
        <v>71</v>
      </c>
      <c r="H3" s="19" t="s">
        <v>72</v>
      </c>
    </row>
    <row r="4" spans="1:8" x14ac:dyDescent="0.3">
      <c r="A4" s="18" t="s">
        <v>68</v>
      </c>
      <c r="B4" s="19" t="s">
        <v>75</v>
      </c>
      <c r="C4" s="19">
        <v>1</v>
      </c>
      <c r="D4" s="18">
        <v>1</v>
      </c>
      <c r="E4" s="19" t="s">
        <v>76</v>
      </c>
      <c r="F4" s="19" t="s">
        <v>48</v>
      </c>
      <c r="G4" s="19" t="s">
        <v>71</v>
      </c>
      <c r="H4" s="19" t="s">
        <v>72</v>
      </c>
    </row>
    <row r="5" spans="1:8" x14ac:dyDescent="0.3">
      <c r="A5" s="18" t="s">
        <v>68</v>
      </c>
      <c r="B5" s="19" t="s">
        <v>77</v>
      </c>
      <c r="C5" s="19">
        <v>1</v>
      </c>
      <c r="D5" s="18">
        <v>1</v>
      </c>
      <c r="E5" s="19" t="s">
        <v>78</v>
      </c>
      <c r="F5" s="19" t="s">
        <v>56</v>
      </c>
      <c r="G5" s="19" t="s">
        <v>79</v>
      </c>
      <c r="H5" s="19" t="s">
        <v>80</v>
      </c>
    </row>
    <row r="6" spans="1:8" x14ac:dyDescent="0.3">
      <c r="A6" s="18" t="s">
        <v>68</v>
      </c>
      <c r="B6" s="19" t="s">
        <v>81</v>
      </c>
      <c r="C6" s="19">
        <v>1</v>
      </c>
      <c r="D6" s="18">
        <v>1</v>
      </c>
      <c r="E6" s="19" t="s">
        <v>78</v>
      </c>
      <c r="F6" s="19" t="s">
        <v>56</v>
      </c>
      <c r="G6" s="19" t="s">
        <v>79</v>
      </c>
      <c r="H6" s="19" t="s">
        <v>80</v>
      </c>
    </row>
    <row r="7" spans="1:8" x14ac:dyDescent="0.3">
      <c r="A7" s="18" t="s">
        <v>1</v>
      </c>
      <c r="B7" s="19" t="s">
        <v>82</v>
      </c>
      <c r="C7" s="19">
        <v>33</v>
      </c>
      <c r="D7" s="18">
        <v>17</v>
      </c>
      <c r="E7" s="19" t="s">
        <v>83</v>
      </c>
      <c r="F7" s="19" t="s">
        <v>52</v>
      </c>
      <c r="G7" s="19" t="s">
        <v>71</v>
      </c>
      <c r="H7" s="19" t="s">
        <v>84</v>
      </c>
    </row>
    <row r="8" spans="1:8" x14ac:dyDescent="0.3">
      <c r="A8" s="18" t="s">
        <v>85</v>
      </c>
      <c r="B8" s="19" t="s">
        <v>86</v>
      </c>
      <c r="C8" s="19">
        <v>4</v>
      </c>
      <c r="D8" s="18">
        <v>4</v>
      </c>
      <c r="E8" s="19" t="s">
        <v>87</v>
      </c>
      <c r="F8" s="19" t="s">
        <v>50</v>
      </c>
      <c r="G8" s="19" t="s">
        <v>71</v>
      </c>
      <c r="H8" s="19" t="s">
        <v>88</v>
      </c>
    </row>
    <row r="9" spans="1:8" x14ac:dyDescent="0.3">
      <c r="A9" s="18" t="s">
        <v>85</v>
      </c>
      <c r="B9" s="19" t="s">
        <v>89</v>
      </c>
      <c r="C9" s="19">
        <v>1</v>
      </c>
      <c r="D9" s="18">
        <v>1</v>
      </c>
      <c r="E9" s="19" t="s">
        <v>90</v>
      </c>
      <c r="F9" s="19" t="s">
        <v>52</v>
      </c>
      <c r="G9" s="19" t="s">
        <v>71</v>
      </c>
      <c r="H9" s="19" t="s">
        <v>84</v>
      </c>
    </row>
    <row r="10" spans="1:8" x14ac:dyDescent="0.3">
      <c r="A10" s="18" t="s">
        <v>85</v>
      </c>
      <c r="B10" s="19" t="s">
        <v>91</v>
      </c>
      <c r="C10" s="19">
        <v>1</v>
      </c>
      <c r="D10" s="18">
        <v>1</v>
      </c>
      <c r="E10" s="19" t="s">
        <v>92</v>
      </c>
      <c r="F10" s="19" t="s">
        <v>52</v>
      </c>
      <c r="G10" s="19" t="s">
        <v>71</v>
      </c>
      <c r="H10" s="19" t="s">
        <v>84</v>
      </c>
    </row>
    <row r="11" spans="1:8" x14ac:dyDescent="0.3">
      <c r="A11" s="18" t="s">
        <v>85</v>
      </c>
      <c r="B11" s="19" t="s">
        <v>93</v>
      </c>
      <c r="C11" s="19">
        <v>3</v>
      </c>
      <c r="D11" s="18">
        <v>3</v>
      </c>
      <c r="E11" s="19" t="s">
        <v>94</v>
      </c>
      <c r="F11" s="19" t="s">
        <v>50</v>
      </c>
      <c r="G11" s="19" t="s">
        <v>71</v>
      </c>
      <c r="H11" s="19" t="s">
        <v>88</v>
      </c>
    </row>
    <row r="12" spans="1:8" x14ac:dyDescent="0.3">
      <c r="A12" s="18" t="s">
        <v>76</v>
      </c>
      <c r="B12" s="19" t="s">
        <v>95</v>
      </c>
      <c r="C12" s="19">
        <v>2</v>
      </c>
      <c r="D12" s="18">
        <v>1</v>
      </c>
      <c r="E12" s="19" t="s">
        <v>96</v>
      </c>
      <c r="F12" s="19" t="s">
        <v>50</v>
      </c>
      <c r="G12" s="19" t="s">
        <v>71</v>
      </c>
      <c r="H12" s="19" t="s">
        <v>88</v>
      </c>
    </row>
    <row r="13" spans="1:8" x14ac:dyDescent="0.3">
      <c r="A13" s="18" t="s">
        <v>76</v>
      </c>
      <c r="B13" s="19" t="s">
        <v>97</v>
      </c>
      <c r="C13" s="19">
        <v>1</v>
      </c>
      <c r="D13" s="18">
        <v>1</v>
      </c>
      <c r="E13" s="19" t="s">
        <v>98</v>
      </c>
      <c r="F13" s="19" t="s">
        <v>50</v>
      </c>
      <c r="G13" s="19" t="s">
        <v>71</v>
      </c>
      <c r="H13" s="19" t="s">
        <v>88</v>
      </c>
    </row>
    <row r="14" spans="1:8" x14ac:dyDescent="0.3">
      <c r="A14" s="18" t="s">
        <v>99</v>
      </c>
      <c r="B14" s="19" t="s">
        <v>100</v>
      </c>
      <c r="C14" s="19">
        <v>0</v>
      </c>
      <c r="D14" s="18">
        <v>1</v>
      </c>
      <c r="E14" s="19" t="s">
        <v>101</v>
      </c>
      <c r="F14" s="19" t="s">
        <v>102</v>
      </c>
      <c r="G14" s="19" t="s">
        <v>79</v>
      </c>
      <c r="H14" s="19" t="s">
        <v>103</v>
      </c>
    </row>
    <row r="15" spans="1:8" x14ac:dyDescent="0.3">
      <c r="A15" s="18" t="s">
        <v>99</v>
      </c>
      <c r="B15" s="19" t="s">
        <v>104</v>
      </c>
      <c r="C15" s="19">
        <v>0</v>
      </c>
      <c r="D15" s="18">
        <v>1</v>
      </c>
      <c r="E15" s="19" t="s">
        <v>105</v>
      </c>
      <c r="F15" s="19" t="s">
        <v>102</v>
      </c>
      <c r="G15" s="19" t="s">
        <v>79</v>
      </c>
      <c r="H15" s="19" t="s">
        <v>103</v>
      </c>
    </row>
    <row r="16" spans="1:8" x14ac:dyDescent="0.3">
      <c r="A16" s="30" t="s">
        <v>27</v>
      </c>
      <c r="B16" s="30"/>
      <c r="C16" s="17">
        <f>+SUM(C2:C15)</f>
        <v>53</v>
      </c>
      <c r="D16" s="17">
        <f>+SUM(D2:D15)</f>
        <v>38</v>
      </c>
      <c r="E16" s="17"/>
      <c r="F16" s="17"/>
      <c r="G16" s="17"/>
      <c r="H16" s="17"/>
    </row>
  </sheetData>
  <mergeCells count="1"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tellez</dc:creator>
  <cp:lastModifiedBy>sergio tellez</cp:lastModifiedBy>
  <dcterms:created xsi:type="dcterms:W3CDTF">2026-04-23T18:17:53Z</dcterms:created>
  <dcterms:modified xsi:type="dcterms:W3CDTF">2026-05-03T21:55:29Z</dcterms:modified>
</cp:coreProperties>
</file>